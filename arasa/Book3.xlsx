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amikai/pachi/arasa/"/>
    </mc:Choice>
  </mc:AlternateContent>
  <xr:revisionPtr revIDLastSave="0" documentId="8_{7A9E1E50-F77B-F844-9ED6-0AB5458CFC72}" xr6:coauthVersionLast="47" xr6:coauthVersionMax="47" xr10:uidLastSave="{00000000-0000-0000-0000-000000000000}"/>
  <bookViews>
    <workbookView xWindow="0" yWindow="760" windowWidth="30240" windowHeight="18880" xr2:uid="{7ED4D84A-8917-784B-9FCC-3E6EB8341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J11" i="1"/>
  <c r="J10" i="1"/>
  <c r="J8" i="1"/>
  <c r="H7" i="1"/>
  <c r="I7" i="1" s="1"/>
  <c r="H6" i="1"/>
  <c r="I6" i="1" s="1"/>
  <c r="H5" i="1"/>
  <c r="I5" i="1" s="1"/>
  <c r="H4" i="1"/>
  <c r="I4" i="1" s="1"/>
  <c r="B14" i="1"/>
  <c r="M3" i="1"/>
  <c r="M4" i="1"/>
  <c r="M5" i="1"/>
  <c r="M6" i="1"/>
  <c r="M7" i="1"/>
  <c r="M8" i="1"/>
  <c r="M9" i="1"/>
  <c r="M10" i="1"/>
  <c r="M11" i="1"/>
  <c r="M12" i="1"/>
  <c r="M13" i="1"/>
  <c r="B27" i="1"/>
  <c r="H18" i="1"/>
  <c r="I18" i="1"/>
  <c r="J18" i="1"/>
  <c r="H19" i="1"/>
  <c r="I19" i="1" s="1"/>
  <c r="J19" i="1"/>
  <c r="H20" i="1"/>
  <c r="I20" i="1"/>
  <c r="J20" i="1"/>
  <c r="J27" i="1" s="1" a="1"/>
  <c r="J27" i="1" s="1"/>
  <c r="H21" i="1"/>
  <c r="I21" i="1" s="1"/>
  <c r="K21" i="1" s="1"/>
  <c r="J21" i="1"/>
  <c r="H22" i="1"/>
  <c r="I22" i="1" s="1"/>
  <c r="J22" i="1"/>
  <c r="H23" i="1"/>
  <c r="I23" i="1" s="1"/>
  <c r="K23" i="1" s="1"/>
  <c r="J23" i="1"/>
  <c r="H24" i="1"/>
  <c r="I24" i="1" s="1"/>
  <c r="K24" i="1" s="1"/>
  <c r="J24" i="1"/>
  <c r="H25" i="1"/>
  <c r="I25" i="1" s="1"/>
  <c r="J25" i="1"/>
  <c r="H26" i="1"/>
  <c r="I26" i="1" s="1"/>
  <c r="J26" i="1"/>
  <c r="J17" i="1"/>
  <c r="H17" i="1"/>
  <c r="I17" i="1" s="1"/>
  <c r="K17" i="1" s="1"/>
  <c r="J3" i="1"/>
  <c r="J12" i="1"/>
  <c r="J13" i="1"/>
  <c r="J2" i="1"/>
  <c r="H3" i="1"/>
  <c r="I3" i="1" s="1"/>
  <c r="H9" i="1"/>
  <c r="I9" i="1" s="1"/>
  <c r="H12" i="1"/>
  <c r="I12" i="1" s="1"/>
  <c r="H13" i="1"/>
  <c r="I13" i="1" s="1"/>
  <c r="H2" i="1"/>
  <c r="I2" i="1" s="1"/>
  <c r="K2" i="1" l="1"/>
  <c r="J5" i="1"/>
  <c r="K5" i="1" s="1"/>
  <c r="H11" i="1"/>
  <c r="I11" i="1" s="1"/>
  <c r="K11" i="1" s="1"/>
  <c r="J6" i="1"/>
  <c r="K6" i="1" s="1"/>
  <c r="H10" i="1"/>
  <c r="I10" i="1" s="1"/>
  <c r="K10" i="1" s="1"/>
  <c r="J7" i="1"/>
  <c r="K7" i="1" s="1"/>
  <c r="K12" i="1"/>
  <c r="H8" i="1"/>
  <c r="I8" i="1" s="1"/>
  <c r="K8" i="1" s="1"/>
  <c r="K3" i="1"/>
  <c r="K13" i="1"/>
  <c r="J9" i="1"/>
  <c r="K9" i="1" s="1"/>
  <c r="J4" i="1"/>
  <c r="K4" i="1" s="1"/>
  <c r="K19" i="1"/>
  <c r="K26" i="1"/>
  <c r="K22" i="1"/>
  <c r="K18" i="1"/>
  <c r="K25" i="1"/>
  <c r="K20" i="1"/>
  <c r="K27" i="1" s="1"/>
  <c r="K14" i="1" l="1"/>
  <c r="J14" i="1" a="1"/>
  <c r="J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<sst xmlns="http://schemas.openxmlformats.org/spreadsheetml/2006/main" count="23" uniqueCount="12">
  <si>
    <t>からくり</t>
    <phoneticPr fontId="1"/>
  </si>
  <si>
    <t>差玉</t>
    <rPh sb="0" eb="2">
      <t xml:space="preserve">サダマ </t>
    </rPh>
    <phoneticPr fontId="1"/>
  </si>
  <si>
    <t>大</t>
    <rPh sb="0" eb="1">
      <t xml:space="preserve">ダイ </t>
    </rPh>
    <phoneticPr fontId="1"/>
  </si>
  <si>
    <t>中</t>
    <rPh sb="0" eb="1">
      <t xml:space="preserve">チュウ </t>
    </rPh>
    <phoneticPr fontId="1"/>
  </si>
  <si>
    <t>電サポ</t>
    <rPh sb="0" eb="1">
      <t xml:space="preserve">デンサポ </t>
    </rPh>
    <phoneticPr fontId="1"/>
  </si>
  <si>
    <t>通常</t>
    <rPh sb="0" eb="2">
      <t xml:space="preserve">ツウジョウ </t>
    </rPh>
    <phoneticPr fontId="1"/>
  </si>
  <si>
    <t>小</t>
    <rPh sb="0" eb="1">
      <t xml:space="preserve">ショウ </t>
    </rPh>
    <phoneticPr fontId="1"/>
  </si>
  <si>
    <t>rb</t>
    <phoneticPr fontId="1"/>
  </si>
  <si>
    <t>ボーダー</t>
    <phoneticPr fontId="1"/>
  </si>
  <si>
    <t>回転</t>
    <rPh sb="0" eb="2">
      <t xml:space="preserve">カイテン </t>
    </rPh>
    <phoneticPr fontId="1"/>
  </si>
  <si>
    <t>期待値(持ち玉100)</t>
    <rPh sb="0" eb="3">
      <t xml:space="preserve">キタイチ </t>
    </rPh>
    <rPh sb="4" eb="5">
      <t xml:space="preserve">モチダマ </t>
    </rPh>
    <phoneticPr fontId="1"/>
  </si>
  <si>
    <t>紅</t>
    <rPh sb="0" eb="1">
      <t xml:space="preserve">ベニ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</si>
</sst>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D348-A805-5545-9987-5BEF65BE0174}">
  <dimension ref="A1:M27"/>
  <sheetViews>
    <sheetView tabSelected="1" workbookViewId="0"/>
  </sheetViews>
  <sheetFormatPr baseColWidth="10" defaultRowHeight="20"/>
  <cols>
    <col min="11" max="11" width="16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4</v>
      </c>
    </row>
    <row r="2" spans="1:13">
      <c r="A2">
        <v>152</v>
      </c>
      <c r="B2">
        <v>60800</v>
      </c>
      <c r="C2">
        <v>49</v>
      </c>
      <c r="D2">
        <v>4</v>
      </c>
      <c r="E2">
        <v>4</v>
      </c>
      <c r="F2">
        <v>-700</v>
      </c>
      <c r="G2">
        <v>1192</v>
      </c>
      <c r="H2">
        <f>140-F2/(C2*10+D2*8+E2*2)</f>
        <v>141.32075471698113</v>
      </c>
      <c r="I2">
        <f>16.7*140/H2</f>
        <v>16.54392523364486</v>
      </c>
      <c r="J2">
        <f>G2/(1400*C2+D2*1120+E2*280-F2-B2)*250</f>
        <v>21.134751773049647</v>
      </c>
      <c r="K2">
        <f>250/I2*(J2-I2)*25/7*(1400*C2+D2*1120+E2*280-F2-B2)/250</f>
        <v>13973.76406217216</v>
      </c>
      <c r="L2">
        <v>60800</v>
      </c>
      <c r="M2">
        <f>L2-500</f>
        <v>60300</v>
      </c>
    </row>
    <row r="3" spans="1:13">
      <c r="A3">
        <v>153</v>
      </c>
      <c r="B3">
        <v>50500</v>
      </c>
      <c r="C3">
        <v>47</v>
      </c>
      <c r="D3">
        <v>8</v>
      </c>
      <c r="E3">
        <v>6</v>
      </c>
      <c r="F3">
        <v>-1040</v>
      </c>
      <c r="G3">
        <v>2137</v>
      </c>
      <c r="H3">
        <f t="shared" ref="H3:H13" si="0">140-F3/(C3*10+D3*8+E3*2)</f>
        <v>141.9047619047619</v>
      </c>
      <c r="I3">
        <f t="shared" ref="I3:I13" si="1">16.7*140/H3</f>
        <v>16.475838926174497</v>
      </c>
      <c r="J3">
        <f t="shared" ref="J3:J13" si="2">G3/(1400*C3+D3*1120+E3*280-F3-B3)*250</f>
        <v>19.801704966641957</v>
      </c>
      <c r="K3">
        <f t="shared" ref="K3:K13" si="3">250/I3*(J3-I3)*25/7*(1400*C3+D3*1120+E3*280-F3-B3)/250</f>
        <v>19450.963961290247</v>
      </c>
      <c r="L3">
        <v>50500</v>
      </c>
      <c r="M3">
        <f t="shared" ref="M3:M13" si="4">L3-500</f>
        <v>50000</v>
      </c>
    </row>
    <row r="4" spans="1:13">
      <c r="A4">
        <v>154</v>
      </c>
      <c r="B4">
        <v>-6400</v>
      </c>
      <c r="C4">
        <v>9</v>
      </c>
      <c r="D4">
        <v>7</v>
      </c>
      <c r="E4">
        <v>3</v>
      </c>
      <c r="F4">
        <v>170</v>
      </c>
      <c r="G4">
        <v>2172</v>
      </c>
      <c r="H4">
        <f t="shared" si="0"/>
        <v>138.88157894736841</v>
      </c>
      <c r="I4">
        <f t="shared" si="1"/>
        <v>16.834486025580294</v>
      </c>
      <c r="J4">
        <f t="shared" si="2"/>
        <v>19.738276990185387</v>
      </c>
      <c r="K4">
        <f t="shared" si="3"/>
        <v>16947.203605678013</v>
      </c>
      <c r="L4">
        <v>-6300</v>
      </c>
      <c r="M4">
        <f t="shared" si="4"/>
        <v>-6800</v>
      </c>
    </row>
    <row r="5" spans="1:13">
      <c r="A5">
        <v>155</v>
      </c>
      <c r="B5">
        <v>16250</v>
      </c>
      <c r="C5">
        <v>22</v>
      </c>
      <c r="D5">
        <v>8</v>
      </c>
      <c r="E5">
        <v>2</v>
      </c>
      <c r="F5">
        <v>60</v>
      </c>
      <c r="G5">
        <v>1963</v>
      </c>
      <c r="H5">
        <f t="shared" si="0"/>
        <v>139.79166666666666</v>
      </c>
      <c r="I5">
        <f t="shared" si="1"/>
        <v>16.724888226527572</v>
      </c>
      <c r="J5">
        <f t="shared" si="2"/>
        <v>20.439400249895879</v>
      </c>
      <c r="K5">
        <f t="shared" si="3"/>
        <v>19044.635855839344</v>
      </c>
      <c r="L5">
        <v>16250</v>
      </c>
      <c r="M5">
        <f t="shared" si="4"/>
        <v>15750</v>
      </c>
    </row>
    <row r="6" spans="1:13">
      <c r="A6">
        <v>156</v>
      </c>
      <c r="B6">
        <v>21250</v>
      </c>
      <c r="C6">
        <v>31</v>
      </c>
      <c r="D6">
        <v>4</v>
      </c>
      <c r="E6">
        <v>7</v>
      </c>
      <c r="F6">
        <v>-90</v>
      </c>
      <c r="G6">
        <v>2357</v>
      </c>
      <c r="H6">
        <f t="shared" si="0"/>
        <v>140.25280898876406</v>
      </c>
      <c r="I6">
        <f t="shared" si="1"/>
        <v>16.6698978569998</v>
      </c>
      <c r="J6">
        <f t="shared" si="2"/>
        <v>20.545676429567646</v>
      </c>
      <c r="K6">
        <f t="shared" si="3"/>
        <v>23814.810730522466</v>
      </c>
      <c r="L6">
        <v>21250</v>
      </c>
      <c r="M6">
        <f t="shared" si="4"/>
        <v>20750</v>
      </c>
    </row>
    <row r="7" spans="1:13">
      <c r="A7">
        <v>157</v>
      </c>
      <c r="B7">
        <v>-25000</v>
      </c>
      <c r="C7">
        <v>0</v>
      </c>
      <c r="D7">
        <v>3</v>
      </c>
      <c r="E7">
        <v>9</v>
      </c>
      <c r="F7">
        <v>50</v>
      </c>
      <c r="G7">
        <v>2520</v>
      </c>
      <c r="H7">
        <f t="shared" si="0"/>
        <v>138.8095238095238</v>
      </c>
      <c r="I7">
        <f t="shared" si="1"/>
        <v>16.843224699828475</v>
      </c>
      <c r="J7">
        <f t="shared" si="2"/>
        <v>20.434641582873827</v>
      </c>
      <c r="K7">
        <f t="shared" si="3"/>
        <v>23477.728217035317</v>
      </c>
      <c r="L7">
        <v>-25000</v>
      </c>
      <c r="M7">
        <f t="shared" si="4"/>
        <v>-25500</v>
      </c>
    </row>
    <row r="8" spans="1:13">
      <c r="A8">
        <v>158</v>
      </c>
      <c r="B8">
        <v>-17200</v>
      </c>
      <c r="C8">
        <v>7</v>
      </c>
      <c r="D8">
        <v>6</v>
      </c>
      <c r="E8">
        <v>9</v>
      </c>
      <c r="F8">
        <v>150</v>
      </c>
      <c r="G8">
        <v>2997</v>
      </c>
      <c r="H8">
        <f t="shared" si="0"/>
        <v>138.89705882352942</v>
      </c>
      <c r="I8">
        <f t="shared" si="1"/>
        <v>16.832609846479617</v>
      </c>
      <c r="J8">
        <f t="shared" si="2"/>
        <v>20.760598503740649</v>
      </c>
      <c r="K8">
        <f t="shared" si="3"/>
        <v>30077.907435429286</v>
      </c>
      <c r="L8">
        <v>-17200</v>
      </c>
      <c r="M8">
        <f t="shared" si="4"/>
        <v>-17700</v>
      </c>
    </row>
    <row r="9" spans="1:13">
      <c r="A9">
        <v>456</v>
      </c>
      <c r="B9">
        <v>33580</v>
      </c>
      <c r="C9">
        <v>31</v>
      </c>
      <c r="D9">
        <v>11</v>
      </c>
      <c r="E9">
        <v>2</v>
      </c>
      <c r="F9">
        <v>150</v>
      </c>
      <c r="G9">
        <v>1759</v>
      </c>
      <c r="H9">
        <f t="shared" si="0"/>
        <v>139.62686567164178</v>
      </c>
      <c r="I9">
        <f t="shared" si="1"/>
        <v>16.744628540887227</v>
      </c>
      <c r="J9">
        <f t="shared" si="2"/>
        <v>19.50110864745011</v>
      </c>
      <c r="K9">
        <f t="shared" si="3"/>
        <v>13257.689996187937</v>
      </c>
      <c r="L9">
        <v>33580</v>
      </c>
      <c r="M9">
        <f t="shared" si="4"/>
        <v>33080</v>
      </c>
    </row>
    <row r="10" spans="1:13">
      <c r="A10">
        <v>457</v>
      </c>
      <c r="B10">
        <v>-6200</v>
      </c>
      <c r="C10">
        <v>8</v>
      </c>
      <c r="D10">
        <v>5</v>
      </c>
      <c r="E10">
        <v>8</v>
      </c>
      <c r="F10">
        <v>100</v>
      </c>
      <c r="G10">
        <v>1999</v>
      </c>
      <c r="H10">
        <f t="shared" si="0"/>
        <v>139.26470588235293</v>
      </c>
      <c r="I10">
        <f t="shared" si="1"/>
        <v>16.78817317845829</v>
      </c>
      <c r="J10">
        <f t="shared" si="2"/>
        <v>19.878679395385838</v>
      </c>
      <c r="K10">
        <f t="shared" si="3"/>
        <v>16528.499273961068</v>
      </c>
      <c r="L10">
        <v>-6200</v>
      </c>
      <c r="M10">
        <f t="shared" si="4"/>
        <v>-6700</v>
      </c>
    </row>
    <row r="11" spans="1:13">
      <c r="A11">
        <v>458</v>
      </c>
      <c r="B11">
        <v>500</v>
      </c>
      <c r="C11">
        <v>15</v>
      </c>
      <c r="D11">
        <v>2</v>
      </c>
      <c r="E11">
        <v>6</v>
      </c>
      <c r="F11">
        <v>80</v>
      </c>
      <c r="G11">
        <v>1895</v>
      </c>
      <c r="H11">
        <f t="shared" si="0"/>
        <v>139.55056179775281</v>
      </c>
      <c r="I11">
        <f t="shared" si="1"/>
        <v>16.753784219001609</v>
      </c>
      <c r="J11">
        <f t="shared" si="2"/>
        <v>19.463845521774857</v>
      </c>
      <c r="K11">
        <f t="shared" si="3"/>
        <v>14061.405737024015</v>
      </c>
      <c r="L11">
        <v>500</v>
      </c>
      <c r="M11">
        <f t="shared" si="4"/>
        <v>0</v>
      </c>
    </row>
    <row r="12" spans="1:13">
      <c r="A12">
        <v>459</v>
      </c>
      <c r="B12">
        <v>5800</v>
      </c>
      <c r="C12">
        <v>24</v>
      </c>
      <c r="D12">
        <v>4</v>
      </c>
      <c r="E12">
        <v>8</v>
      </c>
      <c r="F12">
        <v>180</v>
      </c>
      <c r="G12">
        <v>2869</v>
      </c>
      <c r="H12">
        <f t="shared" si="0"/>
        <v>139.375</v>
      </c>
      <c r="I12">
        <f t="shared" si="1"/>
        <v>16.774887892376682</v>
      </c>
      <c r="J12">
        <f t="shared" si="2"/>
        <v>20.886721025043681</v>
      </c>
      <c r="K12">
        <f t="shared" si="3"/>
        <v>30062.016910057428</v>
      </c>
      <c r="L12">
        <v>5800</v>
      </c>
      <c r="M12">
        <f t="shared" si="4"/>
        <v>5300</v>
      </c>
    </row>
    <row r="13" spans="1:13">
      <c r="A13">
        <v>460</v>
      </c>
      <c r="B13">
        <v>19200</v>
      </c>
      <c r="C13">
        <v>21</v>
      </c>
      <c r="D13">
        <v>13</v>
      </c>
      <c r="E13">
        <v>8</v>
      </c>
      <c r="F13">
        <v>70</v>
      </c>
      <c r="G13">
        <v>2122</v>
      </c>
      <c r="H13">
        <f t="shared" si="0"/>
        <v>139.78787878787878</v>
      </c>
      <c r="I13">
        <f t="shared" si="1"/>
        <v>16.725341426403642</v>
      </c>
      <c r="J13">
        <f t="shared" si="2"/>
        <v>19.699220200519868</v>
      </c>
      <c r="K13">
        <f t="shared" si="3"/>
        <v>17101.200197008591</v>
      </c>
      <c r="L13">
        <v>19200</v>
      </c>
      <c r="M13">
        <f t="shared" si="4"/>
        <v>18700</v>
      </c>
    </row>
    <row r="14" spans="1:13">
      <c r="B14">
        <f>SUM(B2:B13)</f>
        <v>153080</v>
      </c>
      <c r="J14" cm="1">
        <f t="array" ref="J14">SUM(G2:G13*J2:J13)/SUM(G2:G13)</f>
        <v>20.217596149712065</v>
      </c>
      <c r="K14">
        <f>SUM(K2:K13)</f>
        <v>237797.82598220583</v>
      </c>
    </row>
    <row r="16" spans="1:13">
      <c r="A16" t="s">
        <v>11</v>
      </c>
      <c r="B16" t="s">
        <v>1</v>
      </c>
      <c r="C16" t="s">
        <v>2</v>
      </c>
      <c r="D16" t="s">
        <v>3</v>
      </c>
      <c r="E16" t="s">
        <v>6</v>
      </c>
      <c r="F16" t="s">
        <v>4</v>
      </c>
      <c r="G16" t="s">
        <v>5</v>
      </c>
      <c r="H16" t="s">
        <v>7</v>
      </c>
      <c r="I16" t="s">
        <v>8</v>
      </c>
      <c r="J16" t="s">
        <v>9</v>
      </c>
      <c r="K16" t="s">
        <v>10</v>
      </c>
    </row>
    <row r="17" spans="1:11">
      <c r="A17">
        <v>409</v>
      </c>
      <c r="B17">
        <v>50</v>
      </c>
      <c r="C17">
        <v>23</v>
      </c>
      <c r="D17">
        <v>0</v>
      </c>
      <c r="E17">
        <v>0</v>
      </c>
      <c r="F17">
        <v>110</v>
      </c>
      <c r="G17">
        <v>2543</v>
      </c>
      <c r="H17">
        <f>140-F17/(C17*10+D17*8+E17*2)</f>
        <v>139.52173913043478</v>
      </c>
      <c r="I17">
        <f>16.7*140/H17</f>
        <v>16.75724524774073</v>
      </c>
      <c r="J17">
        <f>G17/(1400*C17+D17*1120+E17*280-F17-B17)*250</f>
        <v>19.842384519350809</v>
      </c>
      <c r="K17">
        <f>250/I17*(J17-I17)*25/7*(1400*C17+D17*1120+E17*280-F17-B17)/250</f>
        <v>21067.190596623936</v>
      </c>
    </row>
    <row r="18" spans="1:11">
      <c r="A18">
        <v>410</v>
      </c>
      <c r="B18">
        <v>28000</v>
      </c>
      <c r="C18">
        <v>43</v>
      </c>
      <c r="D18">
        <v>0</v>
      </c>
      <c r="E18">
        <v>0</v>
      </c>
      <c r="F18">
        <v>-360</v>
      </c>
      <c r="G18">
        <v>2443</v>
      </c>
      <c r="H18">
        <f t="shared" ref="H18:H26" si="5">140-F18/(C18*10+D18*8+E18*2)</f>
        <v>140.83720930232559</v>
      </c>
      <c r="I18">
        <f t="shared" ref="I18:I26" si="6">16.7*140/H18</f>
        <v>16.600726552179655</v>
      </c>
      <c r="J18">
        <f t="shared" ref="J18:J26" si="7">G18/(1400*C18+D18*1120+E18*280-F18-B18)*250</f>
        <v>18.757678132678134</v>
      </c>
      <c r="K18">
        <f t="shared" ref="K18:K26" si="8">250/I18*(J18-I18)*25/7*(1400*C18+D18*1120+E18*280-F18-B18)/250</f>
        <v>15109.137207312971</v>
      </c>
    </row>
    <row r="19" spans="1:11">
      <c r="A19">
        <v>411</v>
      </c>
      <c r="B19">
        <v>9500</v>
      </c>
      <c r="C19">
        <v>31</v>
      </c>
      <c r="D19">
        <v>0</v>
      </c>
      <c r="E19">
        <v>1</v>
      </c>
      <c r="F19">
        <v>-160</v>
      </c>
      <c r="G19">
        <v>2831</v>
      </c>
      <c r="H19">
        <f t="shared" si="5"/>
        <v>140.51282051282053</v>
      </c>
      <c r="I19">
        <f t="shared" si="6"/>
        <v>16.639051094890508</v>
      </c>
      <c r="J19">
        <f t="shared" si="7"/>
        <v>20.610075713453696</v>
      </c>
      <c r="K19">
        <f t="shared" si="8"/>
        <v>29269.566048436889</v>
      </c>
    </row>
    <row r="20" spans="1:11">
      <c r="A20">
        <v>412</v>
      </c>
      <c r="B20">
        <v>17000</v>
      </c>
      <c r="C20">
        <v>23</v>
      </c>
      <c r="D20">
        <v>0</v>
      </c>
      <c r="E20">
        <v>3</v>
      </c>
      <c r="F20">
        <v>210</v>
      </c>
      <c r="G20">
        <v>1111</v>
      </c>
      <c r="H20">
        <f t="shared" si="5"/>
        <v>139.11016949152543</v>
      </c>
      <c r="I20">
        <f t="shared" si="6"/>
        <v>16.806823027718551</v>
      </c>
      <c r="J20">
        <f t="shared" si="7"/>
        <v>17.545799115603284</v>
      </c>
      <c r="K20">
        <f t="shared" si="8"/>
        <v>2485.8083469864091</v>
      </c>
    </row>
    <row r="21" spans="1:11">
      <c r="A21">
        <v>413</v>
      </c>
      <c r="B21">
        <v>1000</v>
      </c>
      <c r="C21">
        <v>26</v>
      </c>
      <c r="D21">
        <v>0</v>
      </c>
      <c r="E21">
        <v>2</v>
      </c>
      <c r="F21">
        <v>-10</v>
      </c>
      <c r="G21">
        <v>2797</v>
      </c>
      <c r="H21">
        <f t="shared" si="5"/>
        <v>140.03787878787878</v>
      </c>
      <c r="I21">
        <f t="shared" si="6"/>
        <v>16.695482823911281</v>
      </c>
      <c r="J21">
        <f t="shared" si="7"/>
        <v>19.439810953572422</v>
      </c>
      <c r="K21">
        <f t="shared" si="8"/>
        <v>21116.379601650122</v>
      </c>
    </row>
    <row r="22" spans="1:11">
      <c r="A22">
        <v>414</v>
      </c>
      <c r="B22">
        <v>24500</v>
      </c>
      <c r="C22">
        <v>40</v>
      </c>
      <c r="D22">
        <v>0</v>
      </c>
      <c r="E22">
        <v>0</v>
      </c>
      <c r="F22">
        <v>-170</v>
      </c>
      <c r="G22">
        <v>2713</v>
      </c>
      <c r="H22">
        <f t="shared" si="5"/>
        <v>140.42500000000001</v>
      </c>
      <c r="I22">
        <f t="shared" si="6"/>
        <v>16.649457005518958</v>
      </c>
      <c r="J22">
        <f t="shared" si="7"/>
        <v>21.416166719292704</v>
      </c>
      <c r="K22">
        <f t="shared" si="8"/>
        <v>32382.372372601752</v>
      </c>
    </row>
    <row r="23" spans="1:11">
      <c r="A23">
        <v>415</v>
      </c>
      <c r="B23">
        <v>19500</v>
      </c>
      <c r="C23">
        <v>35</v>
      </c>
      <c r="D23">
        <v>0</v>
      </c>
      <c r="E23">
        <v>1</v>
      </c>
      <c r="F23">
        <v>-10</v>
      </c>
      <c r="G23">
        <v>2290</v>
      </c>
      <c r="H23">
        <f t="shared" si="5"/>
        <v>140.02840909090909</v>
      </c>
      <c r="I23">
        <f t="shared" si="6"/>
        <v>16.696611888821263</v>
      </c>
      <c r="J23">
        <f t="shared" si="7"/>
        <v>19.217858341725414</v>
      </c>
      <c r="K23">
        <f t="shared" si="8"/>
        <v>16065.691379300779</v>
      </c>
    </row>
    <row r="24" spans="1:11">
      <c r="A24">
        <v>416</v>
      </c>
      <c r="B24">
        <v>7000</v>
      </c>
      <c r="C24">
        <v>30</v>
      </c>
      <c r="D24">
        <v>0</v>
      </c>
      <c r="E24">
        <v>0</v>
      </c>
      <c r="F24">
        <v>-80</v>
      </c>
      <c r="G24">
        <v>2786</v>
      </c>
      <c r="H24">
        <f t="shared" si="5"/>
        <v>140.26666666666668</v>
      </c>
      <c r="I24">
        <f t="shared" si="6"/>
        <v>16.668250950570339</v>
      </c>
      <c r="J24">
        <f t="shared" si="7"/>
        <v>19.854618015963513</v>
      </c>
      <c r="K24">
        <f t="shared" si="8"/>
        <v>23950.099800399232</v>
      </c>
    </row>
    <row r="25" spans="1:11">
      <c r="A25">
        <v>417</v>
      </c>
      <c r="B25">
        <v>1000</v>
      </c>
      <c r="C25">
        <v>23</v>
      </c>
      <c r="D25">
        <v>0</v>
      </c>
      <c r="E25">
        <v>0</v>
      </c>
      <c r="F25">
        <v>40</v>
      </c>
      <c r="G25">
        <v>2499</v>
      </c>
      <c r="H25">
        <f t="shared" si="5"/>
        <v>139.82608695652175</v>
      </c>
      <c r="I25">
        <f t="shared" si="6"/>
        <v>16.720771144278604</v>
      </c>
      <c r="J25">
        <f t="shared" si="7"/>
        <v>20.0497432605905</v>
      </c>
      <c r="K25">
        <f t="shared" si="8"/>
        <v>22156.09774240341</v>
      </c>
    </row>
    <row r="26" spans="1:11">
      <c r="A26">
        <v>418</v>
      </c>
      <c r="B26">
        <v>75200</v>
      </c>
      <c r="C26">
        <v>75</v>
      </c>
      <c r="D26">
        <v>0</v>
      </c>
      <c r="E26">
        <v>0</v>
      </c>
      <c r="F26">
        <v>620</v>
      </c>
      <c r="G26">
        <v>2099</v>
      </c>
      <c r="H26">
        <f t="shared" si="5"/>
        <v>139.17333333333335</v>
      </c>
      <c r="I26">
        <f t="shared" si="6"/>
        <v>16.799195248131824</v>
      </c>
      <c r="J26">
        <f t="shared" si="7"/>
        <v>17.983207676490746</v>
      </c>
      <c r="K26">
        <f t="shared" si="8"/>
        <v>7345.0547883824274</v>
      </c>
    </row>
    <row r="27" spans="1:11">
      <c r="B27">
        <f>SUM(B17:B26)</f>
        <v>182750</v>
      </c>
      <c r="J27" cm="1">
        <f t="array" ref="J27">SUM(G17:G26*J17:J26)/SUM(G17:G26)</f>
        <v>19.648923064691559</v>
      </c>
      <c r="K27">
        <f>SUM(K17:K26)</f>
        <v>190947.39788409794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宇佐美快</dc:creator>
  <cp:lastModifiedBy>宇佐美快</cp:lastModifiedBy>
  <dcterms:created xsi:type="dcterms:W3CDTF">2025-09-15T15:09:02Z</dcterms:created>
  <dcterms:modified xsi:type="dcterms:W3CDTF">2025-09-15T16:28:04Z</dcterms:modified>
</cp:coreProperties>
</file>